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Fase 3\"/>
    </mc:Choice>
  </mc:AlternateContent>
  <xr:revisionPtr revIDLastSave="0" documentId="13_ncr:1_{95E29A51-4002-43E6-863E-29BEBFE84DC5}"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G45" i="1"/>
  <c r="E45" i="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C47" i="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<sst xmlns="http://schemas.openxmlformats.org/spreadsheetml/2006/main" count="170" uniqueCount="100">
  <si>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</si>
  <si>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</si>
  <si>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</si>
  <si>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</si>
  <si>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</si>
  <si>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</si>
  <si>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</si>
  <si>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</si>
  <si>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</si>
  <si>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</si>
  <si>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</si>
  <si>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</si>
  <si>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</si>
  <si>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</si>
  <si>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</si>
  <si>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</si>
  <si>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</si>
  <si>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</si>
  <si>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</si>
  <si>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</si>
  <si>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</si>
  <si>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</si>
  <si>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</si>
  <si>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</si>
  <si>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</si>
  <si>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</si>
  <si>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</si>
  <si>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</si>
  <si>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</si>
  <si>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</si>
  <si>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</si>
  <si>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</si>
  <si>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</si>
  <si>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</si>
  <si>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</si>
  <si>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</si>
  <si>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</si>
  <si>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</si>
  <si>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</si>
  <si>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</si>
  <si>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</si>
  <si>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</si>
  <si>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</si>
  <si>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</si>
  <si>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</si>
  <si>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</si>
  <si>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</si>
  <si>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</si>
  <si>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</si>
  <si>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</si>
  <si>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</si>
  <si>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</si>
  <si>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</si>
  <si>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</si>
  <si>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</si>
  <si>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</si>
  <si>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</si>
  <si>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</si>
  <si>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</si>
  <si>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</si>
  <si>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</si>
  <si>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</si>
  <si>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</si>
  <si>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</si>
  <si>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</si>
  <si>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</si>
  <si>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</si>
  <si>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</si>
  <si>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</si>
  <si>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</si>
  <si>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</si>
  <si>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</si>
  <si>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</si>
  <si>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</si>
  <si>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</si>
  <si>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</si>
  <si>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</si>
  <si>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</si>
  <si>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</si>
  <si>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</si>
  <si>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</si>
  <si>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</si>
  <si>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</si>
  <si>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</si>
  <si>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</si>
  <si>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</si>
  <si>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</si>
  <si>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</si>
  <si>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</si>
  <si>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</si>
  <si>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</si>
  <si>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</si>
  <si>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</si>
  <si>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</si>
  <si>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</si>
  <si>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</si>
  <si>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JAMETT GALLARDO VALENTINA KATHERINE</t>
  </si>
  <si>
    <t>MUNOZ MOLINA JORGE ALBERTO</t>
  </si>
  <si>
    <t xml:space="preserve">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</si>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</sst>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7" zoomScale="120" zoomScaleNormal="120" workbookViewId="0">
      <selection activeCell="F19" sqref="F1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6.6</v>
      </c>
      <c r="D4" s="6">
        <f>$C$35</f>
        <v>7</v>
      </c>
      <c r="E4" s="43">
        <f>C4*C$2+D4*D$2</f>
        <v>6.6999999999999993</v>
      </c>
      <c r="G4" s="1"/>
    </row>
    <row r="5" spans="1:11" ht="14.4" x14ac:dyDescent="0.3">
      <c r="A5" s="5">
        <v>2</v>
      </c>
      <c r="B5" s="32" t="s">
        <v>97</v>
      </c>
      <c r="C5" s="6">
        <f>EVALUACION1!$C$24</f>
        <v>6.6</v>
      </c>
      <c r="D5" s="6">
        <f>C47</f>
        <v>7</v>
      </c>
      <c r="E5" s="43">
        <f t="shared" ref="E5" si="0">C5*C$2+D5*D$2</f>
        <v>6.6999999999999993</v>
      </c>
      <c r="G5" s="1"/>
    </row>
    <row r="6" spans="1:11" ht="14.4" x14ac:dyDescent="0.3">
      <c r="A6" s="5">
        <v>3</v>
      </c>
      <c r="B6" s="32"/>
      <c r="C6" s="6"/>
      <c r="D6" s="6"/>
      <c r="E6" s="43"/>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5"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95</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9.8" customHeight="1" outlineLevel="1" x14ac:dyDescent="0.3">
      <c r="A15" s="65"/>
      <c r="B15" s="35" t="str">
        <f>RUBRICA!A8</f>
        <v xml:space="preserve">4.  Argumenta por qué el proyecto es factible de realizarse en el marco de la asignatura. </v>
      </c>
      <c r="C15" s="33" t="s">
        <v>7</v>
      </c>
      <c r="D15" s="16" t="s">
        <v>95</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
        <v>95</v>
      </c>
      <c r="E16" s="16">
        <f>IF(D16="X",100*0.05,"")</f>
        <v>5</v>
      </c>
      <c r="F16" s="16"/>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98</v>
      </c>
      <c r="E17" s="16" t="str">
        <f t="shared" ref="E17" si="11">IF(D17="X",100*0.1,"")</f>
        <v/>
      </c>
      <c r="F17" s="16" t="s">
        <v>95</v>
      </c>
      <c r="G17" s="16">
        <f t="shared" ref="G17" si="12">IF(F17="X",60*0.1,"")</f>
        <v>6</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
        <v>95</v>
      </c>
      <c r="E18" s="16">
        <f t="shared" ref="E18" si="17">IF(D18="X",100*0.1,"")</f>
        <v>10</v>
      </c>
      <c r="F18" s="16"/>
      <c r="G18" s="16" t="str">
        <f t="shared" ref="G18" si="18">IF(F18="X",60*0.1,"")</f>
        <v/>
      </c>
      <c r="H18" s="16" t="str">
        <f t="shared" si="13"/>
        <v/>
      </c>
      <c r="I18" s="16" t="str">
        <f t="shared" ref="I18" si="19">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t="s">
        <v>99</v>
      </c>
      <c r="E19" s="16">
        <f>IF(D19="X",100*0.05,"")</f>
        <v>5</v>
      </c>
      <c r="F19" s="16"/>
      <c r="G19" s="16" t="str">
        <f t="shared" ref="G19" si="20">IF(F19="X",60*0.05,"")</f>
        <v/>
      </c>
      <c r="H19" s="16" t="str">
        <f t="shared" si="13"/>
        <v/>
      </c>
      <c r="I19" s="16" t="str">
        <f t="shared" ref="I19" si="21">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t="s">
        <v>95</v>
      </c>
      <c r="E20" s="16">
        <f>IF(D20="X",100*0.05,"")</f>
        <v>5</v>
      </c>
      <c r="F20" s="16"/>
      <c r="G20" s="16" t="str">
        <f t="shared" si="9"/>
        <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t="s">
        <v>95</v>
      </c>
      <c r="E21" s="16">
        <f t="shared" si="8"/>
        <v>5</v>
      </c>
      <c r="F21" s="16"/>
      <c r="G21" s="16" t="str">
        <f t="shared" si="9"/>
        <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1"/>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5">
      <c r="A24" s="50"/>
      <c r="B24" s="36" t="s">
        <v>12</v>
      </c>
      <c r="C24" s="20">
        <f>VLOOKUP(C23,ESCALA_IEP!A2:B142,2,FALSE)</f>
        <v>6.6</v>
      </c>
    </row>
    <row r="25" spans="1:11" ht="15.75" customHeight="1" x14ac:dyDescent="0.3"/>
    <row r="26" spans="1:11" ht="15.75" customHeight="1" x14ac:dyDescent="0.3"/>
    <row r="27" spans="1:11" ht="15.75" customHeight="1" x14ac:dyDescent="0.3">
      <c r="A27" s="60" t="s">
        <v>13</v>
      </c>
      <c r="B27" s="49" t="s">
        <v>14</v>
      </c>
      <c r="C27" s="52" t="str">
        <f>$B$4</f>
        <v>JAMETT GALLARDO VALENTINA KATHERINE</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2">IF($C31=CL,"X","")</f>
        <v>X</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2"/>
        <v>X</v>
      </c>
      <c r="E32" s="16">
        <f>IF(D32="X",100*0.1,"")</f>
        <v>10</v>
      </c>
      <c r="F32" s="16" t="str">
        <f t="shared" si="23"/>
        <v/>
      </c>
      <c r="G32" s="16" t="str">
        <f>IF(F32="X",60*0.1,"")</f>
        <v/>
      </c>
      <c r="H32" s="16" t="str">
        <f t="shared" si="24"/>
        <v/>
      </c>
      <c r="I32" s="16" t="str">
        <f>IF(H32="X",30*0.1,"")</f>
        <v/>
      </c>
      <c r="J32" s="16" t="str">
        <f t="shared" si="25"/>
        <v/>
      </c>
      <c r="K32" s="16" t="str">
        <f t="shared" si="26"/>
        <v/>
      </c>
    </row>
    <row r="33" spans="1:11" ht="14.4" x14ac:dyDescent="0.3">
      <c r="A33" s="61"/>
      <c r="B33" s="35" t="str">
        <f>RUBRICA!A17</f>
        <v>13. Colaboración y trabajo en equipo *</v>
      </c>
      <c r="C33" s="33" t="s">
        <v>7</v>
      </c>
      <c r="D33" s="16" t="s">
        <v>95</v>
      </c>
      <c r="E33" s="16">
        <f>IF(D33="X",100*0.1,"")</f>
        <v>10</v>
      </c>
      <c r="F33" s="16"/>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MUNOZ MOLINA JORGE ALBERTO</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 si="28">IF($C43=CL,"X","")</f>
        <v>X</v>
      </c>
      <c r="E43" s="16">
        <f>IF(D43="X",100*0.1,"")</f>
        <v>10</v>
      </c>
      <c r="F43" s="16" t="str">
        <f t="shared" ref="F43" si="29">IF($C43=L,"X","")</f>
        <v/>
      </c>
      <c r="G43" s="16" t="str">
        <f>IF(F43="X",60*0.1,"")</f>
        <v/>
      </c>
      <c r="H43" s="16" t="str">
        <f t="shared" ref="H43:H44" si="30">IF($C43=ML,"X","")</f>
        <v/>
      </c>
      <c r="I43" s="16" t="str">
        <f>IF(H43="X",30*0.1,"")</f>
        <v/>
      </c>
      <c r="J43" s="16" t="str">
        <f t="shared" ref="J43:J44" si="31">IF($C43=NL,"X","")</f>
        <v/>
      </c>
      <c r="K43" s="16" t="str">
        <f t="shared" ref="K43:K44" si="32">IF($J43="X",0,"")</f>
        <v/>
      </c>
    </row>
    <row r="44" spans="1:11" ht="24" x14ac:dyDescent="0.3">
      <c r="A44" s="61"/>
      <c r="B44" s="35" t="str">
        <f>RUBRICA!A15</f>
        <v>11. Expone el tema utilizando un lenguaje técnico disciplinar al presentar la propuesta y responde evidenciando un manejo de la información. *</v>
      </c>
      <c r="C44" s="33" t="s">
        <v>7</v>
      </c>
      <c r="D44" s="16" t="s">
        <v>95</v>
      </c>
      <c r="E44" s="16">
        <f>IF(D44="X",100*0.1,"")</f>
        <v>10</v>
      </c>
      <c r="F44" s="16"/>
      <c r="G44" s="16" t="str">
        <f>IF(F44="X",60*0.1,"")</f>
        <v/>
      </c>
      <c r="H44" s="16" t="str">
        <f t="shared" si="30"/>
        <v/>
      </c>
      <c r="I44" s="16" t="str">
        <f>IF(H44="X",30*0.1,"")</f>
        <v/>
      </c>
      <c r="J44" s="16" t="str">
        <f t="shared" si="31"/>
        <v/>
      </c>
      <c r="K44" s="16" t="str">
        <f t="shared" si="32"/>
        <v/>
      </c>
    </row>
    <row r="45" spans="1:11" ht="15.75" customHeight="1" x14ac:dyDescent="0.3">
      <c r="A45" s="61"/>
      <c r="B45" s="35" t="str">
        <f>RUBRICA!A17</f>
        <v>13. Colaboración y trabajo en equipo *</v>
      </c>
      <c r="C45" s="33" t="s">
        <v>7</v>
      </c>
      <c r="D45" s="16" t="s">
        <v>95</v>
      </c>
      <c r="E45" s="16">
        <f>IF(D45="X",100*0.1,"")</f>
        <v>10</v>
      </c>
      <c r="F45" s="16"/>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3">SUM(G43:G45)</f>
        <v>0</v>
      </c>
      <c r="H46" s="19"/>
      <c r="I46" s="19">
        <f t="shared" ref="I46" si="34">SUM(I43:I45)</f>
        <v>0</v>
      </c>
      <c r="J46" s="19"/>
      <c r="K46" s="19">
        <f t="shared" ref="K46" si="35">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f>B6</f>
        <v>0</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c r="E54" s="16" t="str">
        <f>IF(D54="X",100*0.1,"")</f>
        <v/>
      </c>
      <c r="F54" s="16" t="str">
        <f t="shared" ref="F54:F55" si="36">IF($C54=L,"X","")</f>
        <v/>
      </c>
      <c r="G54" s="16" t="str">
        <f>IF(F54="X",60*0.1,"")</f>
        <v/>
      </c>
      <c r="H54" s="16" t="str">
        <f t="shared" ref="H54:H55" si="37">IF($C54=ML,"X","")</f>
        <v/>
      </c>
      <c r="I54" s="16" t="str">
        <f>IF(H54="X",30*0.1,"")</f>
        <v/>
      </c>
      <c r="J54" s="16" t="str">
        <f t="shared" ref="J54:J55" si="38">IF($C54=NL,"X","")</f>
        <v/>
      </c>
      <c r="K54" s="16" t="str">
        <f t="shared" ref="K54:K55" si="39">IF($J54="X",0,"")</f>
        <v/>
      </c>
    </row>
    <row r="55" spans="1:11" ht="24" x14ac:dyDescent="0.3">
      <c r="A55" s="61"/>
      <c r="B55" s="35" t="str">
        <f>RUBRICA!A15</f>
        <v>11. Expone el tema utilizando un lenguaje técnico disciplinar al presentar la propuesta y responde evidenciando un manejo de la información. *</v>
      </c>
      <c r="C55" s="33" t="s">
        <v>7</v>
      </c>
      <c r="D55" s="16"/>
      <c r="E55" s="16" t="str">
        <f>IF(D55="X",100*0.1,"")</f>
        <v/>
      </c>
      <c r="F55" s="16" t="str">
        <f t="shared" si="36"/>
        <v/>
      </c>
      <c r="G55" s="16" t="str">
        <f>IF(F55="X",60*0.1,"")</f>
        <v/>
      </c>
      <c r="H55" s="16" t="str">
        <f t="shared" si="37"/>
        <v/>
      </c>
      <c r="I55" s="16" t="str">
        <f>IF(H55="X",30*0.1,"")</f>
        <v/>
      </c>
      <c r="J55" s="16" t="str">
        <f t="shared" si="38"/>
        <v/>
      </c>
      <c r="K55" s="16" t="str">
        <f t="shared" si="39"/>
        <v/>
      </c>
    </row>
    <row r="56" spans="1:11" ht="15.75" customHeight="1" x14ac:dyDescent="0.3">
      <c r="A56" s="61"/>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0</v>
      </c>
      <c r="D57" s="19">
        <f>COUNTIF(D55:D56,"X")</f>
        <v>0</v>
      </c>
      <c r="E57" s="19">
        <f>SUM(E54:E56)</f>
        <v>0</v>
      </c>
      <c r="F57" s="19">
        <f t="shared" ref="F57" si="40">SUM(F54:F56)</f>
        <v>0</v>
      </c>
      <c r="G57" s="19">
        <f t="shared" ref="G57" si="41">SUM(G54:G56)</f>
        <v>0</v>
      </c>
      <c r="H57" s="19">
        <f t="shared" ref="H57" si="42">SUM(H54:H56)</f>
        <v>0</v>
      </c>
      <c r="I57" s="19">
        <f t="shared" ref="I57" si="43">SUM(I54:I56)</f>
        <v>0</v>
      </c>
      <c r="J57" s="19">
        <f t="shared" ref="J57" si="44">SUM(J54:J56)</f>
        <v>0</v>
      </c>
      <c r="K57" s="19">
        <f t="shared" ref="K57" si="45">SUM(K54:K56)</f>
        <v>0</v>
      </c>
    </row>
    <row r="58" spans="1:11" ht="15.75" customHeight="1" x14ac:dyDescent="0.35">
      <c r="A58" s="50"/>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2025-11-27T02:04:09Z</dcterms:modified>
  <cp:category/>
  <cp:contentStatus/>
</cp:coreProperties>
</file>